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pardPaul\Dev\The-Fort\Rock Spring Rd Property - Administrative\"/>
    </mc:Choice>
  </mc:AlternateContent>
  <xr:revisionPtr revIDLastSave="0" documentId="13_ncr:1_{C571803A-51C4-4740-A8FD-295371A8050D}" xr6:coauthVersionLast="47" xr6:coauthVersionMax="47" xr10:uidLastSave="{00000000-0000-0000-0000-000000000000}"/>
  <bookViews>
    <workbookView xWindow="1185" yWindow="1785" windowWidth="17610" windowHeight="15345" xr2:uid="{3BC15B69-BB54-4737-9A94-1FFB276CBE32}"/>
  </bookViews>
  <sheets>
    <sheet name="rs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3" i="1" l="1"/>
</calcChain>
</file>

<file path=xl/sharedStrings.xml><?xml version="1.0" encoding="utf-8"?>
<sst xmlns="http://schemas.openxmlformats.org/spreadsheetml/2006/main" count="89" uniqueCount="56">
  <si>
    <t>Date</t>
  </si>
  <si>
    <t>Description</t>
  </si>
  <si>
    <t>Amount</t>
  </si>
  <si>
    <t>From</t>
  </si>
  <si>
    <t>Reg-Primary</t>
  </si>
  <si>
    <t>Reg-SWire</t>
  </si>
  <si>
    <t xml:space="preserve"> Regions check - Earnest money</t>
  </si>
  <si>
    <t>Closing balance wire transfer</t>
  </si>
  <si>
    <t>Rock Springs Property - Expenses</t>
  </si>
  <si>
    <t>Account</t>
  </si>
  <si>
    <t>Closing attorney</t>
  </si>
  <si>
    <t>Survey tape</t>
  </si>
  <si>
    <t>Reg-Paul</t>
  </si>
  <si>
    <t>Amazon Order # 113-5634564-6269826</t>
  </si>
  <si>
    <t>No TP/Smile signs</t>
  </si>
  <si>
    <t>Amazon Order # 114-2511539-3431406</t>
  </si>
  <si>
    <t>Fid-WROS</t>
  </si>
  <si>
    <t>TideWe Vis360 blind</t>
  </si>
  <si>
    <t>TideWe Order #527784</t>
  </si>
  <si>
    <t>Tidewe VisTrilogy 2X blind</t>
  </si>
  <si>
    <t>VISA-Amz</t>
  </si>
  <si>
    <t>TideWe Order #515487</t>
  </si>
  <si>
    <t>SpyPoint Insiders Club</t>
  </si>
  <si>
    <t>SpyPoint SO-W1660363</t>
  </si>
  <si>
    <t>SpyPoint 6x(Cam,Lock,SD,LSP)</t>
  </si>
  <si>
    <t>SpyPoint SO-W1660881</t>
  </si>
  <si>
    <t>SpyPoint 2x(Cam,SD)</t>
  </si>
  <si>
    <t>Academy Sports #492555469</t>
  </si>
  <si>
    <t>Madison Co License</t>
  </si>
  <si>
    <t>Madison Co Public Works</t>
  </si>
  <si>
    <t>Perc test</t>
  </si>
  <si>
    <t>Trey Mann</t>
  </si>
  <si>
    <t>SpyPoint SO-W2201909</t>
  </si>
  <si>
    <t>20 HD Video Package x5
50 HD Photo Package x3</t>
  </si>
  <si>
    <t>Lidar scan of property</t>
  </si>
  <si>
    <t>Austin Bush, Bush Drone Data, LLC.</t>
  </si>
  <si>
    <t xml:space="preserve">KEXIN 16GB Micro SD Card 10 Pack </t>
  </si>
  <si>
    <t>Amazon</t>
  </si>
  <si>
    <t>Madison County Address Verification</t>
  </si>
  <si>
    <t>Septic plan (Perc test) Registration</t>
  </si>
  <si>
    <t>Regions Bank</t>
  </si>
  <si>
    <t>Wire transfer fee</t>
  </si>
  <si>
    <t>Survey tape, reflective trail tacks</t>
  </si>
  <si>
    <t>Keter Kenwood 92 gal deck box (x2), tripod plate</t>
  </si>
  <si>
    <t>Fiskars X7 Hatchet + sharpener</t>
  </si>
  <si>
    <t>Tree identification books x2</t>
  </si>
  <si>
    <t>Tree identification book</t>
  </si>
  <si>
    <t>Rustoleum purple paint sprtay 12 oz, 6 pack</t>
  </si>
  <si>
    <t>Toyota Tundra bed cover + install</t>
  </si>
  <si>
    <t>Rocket City Off-Road</t>
  </si>
  <si>
    <t>Onx Maps Elite</t>
  </si>
  <si>
    <t>Spypoint</t>
  </si>
  <si>
    <t>OnxMaps</t>
  </si>
  <si>
    <t>Spypoint Cams full def pics</t>
  </si>
  <si>
    <t xml:space="preserve">Truck tool box </t>
  </si>
  <si>
    <t>Northern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</si>
</sst>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0" fontId="0" fillId="0" borderId="0" xfId="1" applyNumberFormat="1" applyFont="1"/>
    <xf numFmtId="0" fontId="18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0" fontId="0" fillId="0" borderId="11" xfId="1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40" fontId="0" fillId="0" borderId="11" xfId="1" applyNumberFormat="1" applyFont="1" applyBorder="1" applyAlignment="1">
      <alignment vertical="center"/>
    </xf>
    <xf numFmtId="44" fontId="0" fillId="0" borderId="11" xfId="1" applyFont="1" applyBorder="1" applyAlignment="1">
      <alignment vertical="center"/>
    </xf>
    <xf numFmtId="44" fontId="0" fillId="0" borderId="0" xfId="0" applyNumberFormat="1"/>
    <xf numFmtId="0" fontId="0" fillId="0" borderId="11" xfId="0" applyBorder="1" applyAlignment="1">
      <alignment vertical="center" wrapText="1"/>
    </xf>
    <xf numFmtId="40" fontId="19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8" formatCode="#,##0.00_);[Red]\(#,##0.00\)"/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8" formatCode="#,##0.00_);[Red]\(#,##0.00\)"/>
      <alignment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alignment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alignment vertical="center" textRotation="0" wrapText="0" indent="0" justifyLastLine="0" shrinkToFit="0" readingOrder="0"/>
      <border diagonalUp="0" diagonalDown="0" outline="0">
        <left/>
        <right style="dotted">
          <color auto="1"/>
        </right>
        <top/>
        <bottom/>
      </border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B29E69-3E6B-47DD-8819-9CE7464E55F0}" name="HistoryTable3" displayName="HistoryTable3" ref="B4:F34" totalsRowShown="0" headerRowDxfId="6" dataDxfId="5">
  <autoFilter ref="B4:F34" xr:uid="{CFB29E69-3E6B-47DD-8819-9CE7464E55F0}"/>
  <sortState xmlns:xlrd2="http://schemas.microsoft.com/office/spreadsheetml/2017/richdata2" ref="B5:F34">
    <sortCondition ref="B4:B34"/>
  </sortState>
  <tableColumns count="5">
    <tableColumn id="1" xr3:uid="{FB27B325-B6DE-4FBB-9E98-81BD11CE29FD}" name="Date" dataDxfId="4"/>
    <tableColumn id="2" xr3:uid="{ECE8FB1F-8203-454D-B5AE-7D46E8F3D098}" name="Description" dataDxfId="3"/>
    <tableColumn id="5" xr3:uid="{50E0FE12-5CD6-4E91-BB2A-A90FC47EA1CE}" name="Account" dataDxfId="2" dataCellStyle="Currency"/>
    <tableColumn id="4" xr3:uid="{CDD79ECC-BEAD-4033-AF48-1B62E72D0FF0}" name="From" dataDxfId="1" dataCellStyle="Currency"/>
    <tableColumn id="3" xr3:uid="{E0A51F03-A648-4BC7-994A-742B76FE5788}" name="Amount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4222-709A-4140-B2A3-7D6A04707F2E}">
  <dimension ref="B2:F34"/>
  <sheetViews>
    <sheetView showGridLines="0" tabSelected="1" topLeftCell="A20" zoomScale="130" zoomScaleNormal="130" workbookViewId="0">
      <selection activeCell="F33" sqref="F33"/>
    </sheetView>
  </sheetViews>
  <sheetFormatPr defaultRowHeight="15" x14ac:dyDescent="0.25"/>
  <cols>
    <col min="1" max="1" width="2.140625" customWidth="1"/>
    <col min="2" max="2" width="11.85546875" customWidth="1"/>
    <col min="3" max="3" width="39.5703125" bestFit="1" customWidth="1"/>
    <col min="4" max="4" width="12.5703125" bestFit="1" customWidth="1"/>
    <col min="5" max="5" width="30.28515625" customWidth="1"/>
    <col min="6" max="6" width="20.28515625" style="1" customWidth="1"/>
    <col min="7" max="7" width="12" customWidth="1"/>
    <col min="8" max="8" width="10.42578125" bestFit="1" customWidth="1"/>
    <col min="9" max="9" width="40" bestFit="1" customWidth="1"/>
    <col min="10" max="10" width="8.42578125" bestFit="1" customWidth="1"/>
    <col min="11" max="12" width="10.85546875" bestFit="1" customWidth="1"/>
  </cols>
  <sheetData>
    <row r="2" spans="2:6" ht="18.75" x14ac:dyDescent="0.3">
      <c r="B2" s="2" t="s">
        <v>8</v>
      </c>
      <c r="C2" s="2"/>
      <c r="D2" s="11"/>
      <c r="E2" s="11"/>
    </row>
    <row r="3" spans="2:6" x14ac:dyDescent="0.25">
      <c r="F3" s="13">
        <f>SUM(HistoryTable3[Amount])</f>
        <v>272849.67999999993</v>
      </c>
    </row>
    <row r="4" spans="2:6" s="3" customFormat="1" x14ac:dyDescent="0.25">
      <c r="B4" s="4" t="s">
        <v>0</v>
      </c>
      <c r="C4" s="5" t="s">
        <v>1</v>
      </c>
      <c r="D4" s="5" t="s">
        <v>9</v>
      </c>
      <c r="E4" s="5" t="s">
        <v>3</v>
      </c>
      <c r="F4" s="6" t="s">
        <v>2</v>
      </c>
    </row>
    <row r="5" spans="2:6" x14ac:dyDescent="0.25">
      <c r="B5" s="7">
        <v>45951</v>
      </c>
      <c r="C5" s="8" t="s">
        <v>6</v>
      </c>
      <c r="D5" s="9" t="s">
        <v>4</v>
      </c>
      <c r="E5" s="9" t="s">
        <v>10</v>
      </c>
      <c r="F5" s="10">
        <v>2200</v>
      </c>
    </row>
    <row r="6" spans="2:6" x14ac:dyDescent="0.25">
      <c r="B6" s="7">
        <v>45959</v>
      </c>
      <c r="C6" s="8" t="s">
        <v>19</v>
      </c>
      <c r="D6" s="9" t="s">
        <v>20</v>
      </c>
      <c r="E6" s="9" t="s">
        <v>21</v>
      </c>
      <c r="F6" s="10">
        <v>174.4</v>
      </c>
    </row>
    <row r="7" spans="2:6" x14ac:dyDescent="0.25">
      <c r="B7" s="7">
        <v>45965</v>
      </c>
      <c r="C7" s="8" t="s">
        <v>7</v>
      </c>
      <c r="D7" s="9" t="s">
        <v>5</v>
      </c>
      <c r="E7" s="9" t="s">
        <v>10</v>
      </c>
      <c r="F7" s="10">
        <v>264373.62</v>
      </c>
    </row>
    <row r="8" spans="2:6" x14ac:dyDescent="0.25">
      <c r="B8" s="7">
        <v>45965</v>
      </c>
      <c r="C8" s="8" t="s">
        <v>41</v>
      </c>
      <c r="D8" s="9" t="s">
        <v>5</v>
      </c>
      <c r="E8" s="9" t="s">
        <v>40</v>
      </c>
      <c r="F8" s="10">
        <v>25</v>
      </c>
    </row>
    <row r="9" spans="2:6" x14ac:dyDescent="0.25">
      <c r="B9" s="7">
        <v>45967</v>
      </c>
      <c r="C9" s="8" t="s">
        <v>17</v>
      </c>
      <c r="D9" s="9" t="s">
        <v>12</v>
      </c>
      <c r="E9" s="9" t="s">
        <v>18</v>
      </c>
      <c r="F9" s="10">
        <v>115.53</v>
      </c>
    </row>
    <row r="10" spans="2:6" x14ac:dyDescent="0.25">
      <c r="B10" s="7">
        <v>45968</v>
      </c>
      <c r="C10" s="8" t="s">
        <v>14</v>
      </c>
      <c r="D10" s="9" t="s">
        <v>16</v>
      </c>
      <c r="E10" s="9" t="s">
        <v>15</v>
      </c>
      <c r="F10" s="10">
        <v>48.57</v>
      </c>
    </row>
    <row r="11" spans="2:6" x14ac:dyDescent="0.25">
      <c r="B11" s="7">
        <v>45969</v>
      </c>
      <c r="C11" s="8" t="s">
        <v>11</v>
      </c>
      <c r="D11" s="9" t="s">
        <v>12</v>
      </c>
      <c r="E11" s="9" t="s">
        <v>13</v>
      </c>
      <c r="F11" s="10">
        <v>10.79</v>
      </c>
    </row>
    <row r="12" spans="2:6" x14ac:dyDescent="0.25">
      <c r="B12" s="7">
        <v>45969</v>
      </c>
      <c r="C12" s="8" t="s">
        <v>22</v>
      </c>
      <c r="D12" s="9" t="s">
        <v>16</v>
      </c>
      <c r="E12" s="9" t="s">
        <v>23</v>
      </c>
      <c r="F12" s="10">
        <v>104.99</v>
      </c>
    </row>
    <row r="13" spans="2:6" x14ac:dyDescent="0.25">
      <c r="B13" s="7">
        <v>45969</v>
      </c>
      <c r="C13" s="8" t="s">
        <v>24</v>
      </c>
      <c r="D13" s="9" t="s">
        <v>16</v>
      </c>
      <c r="E13" s="9" t="s">
        <v>25</v>
      </c>
      <c r="F13" s="10">
        <v>808.71</v>
      </c>
    </row>
    <row r="14" spans="2:6" x14ac:dyDescent="0.25">
      <c r="B14" s="7">
        <v>45981</v>
      </c>
      <c r="C14" s="8" t="s">
        <v>30</v>
      </c>
      <c r="D14" s="9" t="s">
        <v>16</v>
      </c>
      <c r="E14" s="9" t="s">
        <v>31</v>
      </c>
      <c r="F14" s="10">
        <v>1800</v>
      </c>
    </row>
    <row r="15" spans="2:6" x14ac:dyDescent="0.25">
      <c r="B15" s="7">
        <v>45992</v>
      </c>
      <c r="C15" s="8" t="s">
        <v>28</v>
      </c>
      <c r="D15" s="9" t="s">
        <v>16</v>
      </c>
      <c r="E15" s="9" t="s">
        <v>29</v>
      </c>
      <c r="F15" s="10">
        <v>18.75</v>
      </c>
    </row>
    <row r="16" spans="2:6" x14ac:dyDescent="0.25">
      <c r="B16" s="7">
        <v>45992</v>
      </c>
      <c r="C16" s="8" t="s">
        <v>38</v>
      </c>
      <c r="D16" s="9" t="s">
        <v>16</v>
      </c>
      <c r="E16" s="9" t="s">
        <v>29</v>
      </c>
      <c r="F16" s="10">
        <v>25</v>
      </c>
    </row>
    <row r="17" spans="2:6" x14ac:dyDescent="0.25">
      <c r="B17" s="7">
        <v>45992</v>
      </c>
      <c r="C17" s="8" t="s">
        <v>39</v>
      </c>
      <c r="D17" s="9" t="s">
        <v>16</v>
      </c>
      <c r="E17" s="9" t="s">
        <v>29</v>
      </c>
      <c r="F17" s="10">
        <v>151.94999999999999</v>
      </c>
    </row>
    <row r="18" spans="2:6" x14ac:dyDescent="0.25">
      <c r="B18" s="7">
        <v>46000</v>
      </c>
      <c r="C18" s="8" t="s">
        <v>26</v>
      </c>
      <c r="D18" s="9" t="s">
        <v>16</v>
      </c>
      <c r="E18" s="9" t="s">
        <v>27</v>
      </c>
      <c r="F18" s="10">
        <v>141.69</v>
      </c>
    </row>
    <row r="19" spans="2:6" ht="30" x14ac:dyDescent="0.25">
      <c r="B19" s="7">
        <v>46001</v>
      </c>
      <c r="C19" s="12" t="s">
        <v>33</v>
      </c>
      <c r="D19" s="9" t="s">
        <v>16</v>
      </c>
      <c r="E19" s="9" t="s">
        <v>32</v>
      </c>
      <c r="F19" s="10">
        <v>32</v>
      </c>
    </row>
    <row r="20" spans="2:6" x14ac:dyDescent="0.25">
      <c r="B20" s="7">
        <v>46001</v>
      </c>
      <c r="C20" s="8" t="s">
        <v>34</v>
      </c>
      <c r="D20" s="9" t="s">
        <v>16</v>
      </c>
      <c r="E20" s="9" t="s">
        <v>35</v>
      </c>
      <c r="F20" s="10">
        <v>1200</v>
      </c>
    </row>
    <row r="21" spans="2:6" x14ac:dyDescent="0.25">
      <c r="B21" s="7">
        <v>46002</v>
      </c>
      <c r="C21" s="12" t="s">
        <v>36</v>
      </c>
      <c r="D21" s="9" t="s">
        <v>16</v>
      </c>
      <c r="E21" s="9" t="s">
        <v>37</v>
      </c>
      <c r="F21" s="10">
        <v>37.950000000000003</v>
      </c>
    </row>
    <row r="22" spans="2:6" x14ac:dyDescent="0.25">
      <c r="B22" s="7">
        <v>46028</v>
      </c>
      <c r="C22" s="8" t="s">
        <v>44</v>
      </c>
      <c r="D22" s="9" t="s">
        <v>4</v>
      </c>
      <c r="E22" s="9" t="s">
        <v>37</v>
      </c>
      <c r="F22" s="10">
        <v>84.41</v>
      </c>
    </row>
    <row r="23" spans="2:6" x14ac:dyDescent="0.25">
      <c r="B23" s="7">
        <v>46031</v>
      </c>
      <c r="C23" s="8" t="s">
        <v>43</v>
      </c>
      <c r="D23" s="9" t="s">
        <v>4</v>
      </c>
      <c r="E23" s="9" t="s">
        <v>37</v>
      </c>
      <c r="F23" s="10">
        <v>168.23</v>
      </c>
    </row>
    <row r="24" spans="2:6" x14ac:dyDescent="0.25">
      <c r="B24" s="7">
        <v>46036</v>
      </c>
      <c r="C24" s="8" t="s">
        <v>42</v>
      </c>
      <c r="D24" s="9" t="s">
        <v>12</v>
      </c>
      <c r="E24" s="9" t="s">
        <v>37</v>
      </c>
      <c r="F24" s="10">
        <v>57.72</v>
      </c>
    </row>
    <row r="25" spans="2:6" x14ac:dyDescent="0.25">
      <c r="B25" s="7">
        <v>46045</v>
      </c>
      <c r="C25" s="8" t="s">
        <v>53</v>
      </c>
      <c r="D25" s="9" t="s">
        <v>16</v>
      </c>
      <c r="E25" s="9" t="s">
        <v>51</v>
      </c>
      <c r="F25" s="10">
        <v>24</v>
      </c>
    </row>
    <row r="26" spans="2:6" x14ac:dyDescent="0.25">
      <c r="B26" s="7">
        <v>46063</v>
      </c>
      <c r="C26" s="8" t="s">
        <v>46</v>
      </c>
      <c r="D26" s="9" t="s">
        <v>12</v>
      </c>
      <c r="E26" s="9" t="s">
        <v>37</v>
      </c>
      <c r="F26" s="10">
        <v>6.54</v>
      </c>
    </row>
    <row r="27" spans="2:6" x14ac:dyDescent="0.25">
      <c r="B27" s="7">
        <v>46064</v>
      </c>
      <c r="C27" s="8" t="s">
        <v>45</v>
      </c>
      <c r="D27" s="9" t="s">
        <v>12</v>
      </c>
      <c r="E27" s="9" t="s">
        <v>37</v>
      </c>
      <c r="F27" s="10">
        <v>26.98</v>
      </c>
    </row>
    <row r="28" spans="2:6" x14ac:dyDescent="0.25">
      <c r="B28" s="7">
        <v>46078</v>
      </c>
      <c r="C28" s="8" t="s">
        <v>47</v>
      </c>
      <c r="D28" s="9" t="s">
        <v>12</v>
      </c>
      <c r="E28" s="9" t="s">
        <v>37</v>
      </c>
      <c r="F28" s="10">
        <f>35.16 + 3.4/2</f>
        <v>36.86</v>
      </c>
    </row>
    <row r="29" spans="2:6" x14ac:dyDescent="0.25">
      <c r="B29" s="7">
        <v>46078</v>
      </c>
      <c r="C29" s="8" t="s">
        <v>48</v>
      </c>
      <c r="D29" s="9" t="s">
        <v>12</v>
      </c>
      <c r="E29" s="9" t="s">
        <v>49</v>
      </c>
      <c r="F29" s="10">
        <v>894</v>
      </c>
    </row>
    <row r="30" spans="2:6" x14ac:dyDescent="0.25">
      <c r="B30" s="7">
        <v>46083</v>
      </c>
      <c r="C30" s="8" t="s">
        <v>50</v>
      </c>
      <c r="D30" s="9" t="s">
        <v>16</v>
      </c>
      <c r="E30" s="9" t="s">
        <v>52</v>
      </c>
      <c r="F30" s="10">
        <v>99.99</v>
      </c>
    </row>
    <row r="31" spans="2:6" x14ac:dyDescent="0.25">
      <c r="B31" s="7">
        <v>46090</v>
      </c>
      <c r="C31" s="8" t="s">
        <v>53</v>
      </c>
      <c r="D31" s="9" t="s">
        <v>16</v>
      </c>
      <c r="E31" s="9" t="s">
        <v>51</v>
      </c>
      <c r="F31" s="10">
        <v>32</v>
      </c>
    </row>
    <row r="32" spans="2:6" x14ac:dyDescent="0.25">
      <c r="B32" s="7"/>
      <c r="C32" s="8" t="s">
        <v>54</v>
      </c>
      <c r="D32" s="9"/>
      <c r="E32" s="9" t="s">
        <v>55</v>
      </c>
      <c r="F32" s="10">
        <v>150</v>
      </c>
    </row>
    <row r="33" spans="2:6" x14ac:dyDescent="0.25">
      <c r="B33" s="7"/>
      <c r="C33" s="8"/>
      <c r="D33" s="9"/>
      <c r="E33" s="9"/>
      <c r="F33" s="10"/>
    </row>
    <row r="34" spans="2:6" x14ac:dyDescent="0.25">
      <c r="B34" s="7"/>
      <c r="C34" s="8"/>
      <c r="D34" s="9"/>
      <c r="E34" s="9"/>
      <c r="F34" s="10"/>
    </row>
  </sheetData>
  <dataValidations count="1">
    <dataValidation type="list" allowBlank="1" showInputMessage="1" showErrorMessage="1" sqref="D5:D34" xr:uid="{ED687E50-43FC-43EF-ACFF-CBEB01A1C38F}">
      <formula1>"Reg-Primary,Fid-WROS,Reg-Paul,Reg-Swire,VISA-Amz"</formula1>
    </dataValidation>
  </dataValidations>
  <pageMargins left="0.7" right="0.7" top="0.75" bottom="0.75" header="0.3" footer="0.3"/>
  <pageSetup orientation="portrait" horizontalDpi="1200" verticalDpi="1200" r:id="rId1"/>
  <headerFooter>
    <oddFooter>&amp;L_x000D_&amp;1#&amp;"Aptos"&amp;6&amp;K000000 DESE Research, Inc. - General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3a1c331b-5232-43a0-827b-34eef4b3955f}" enabled="1" method="Privileged" siteId="{3701aadf-5391-43be-bb84-25a015a895f5}" contentBits="2" removed="0"/>
  <clbl:label id="{a5ae83bf-5173-442f-899b-ca1b50b823cd}" enabled="1" method="Privileged" siteId="{81349428-f52e-4686-aac8-448974b80e3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Leopard</dc:creator>
  <cp:lastModifiedBy>Leopard, Paul</cp:lastModifiedBy>
  <dcterms:created xsi:type="dcterms:W3CDTF">2025-10-22T14:42:51Z</dcterms:created>
  <dcterms:modified xsi:type="dcterms:W3CDTF">2026-03-09T19:54:37Z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1c331b-5232-43a0-827b-34eef4b3955f_Enabled">
    <vt:lpwstr>true</vt:lpwstr>
  </property>
  <property fmtid="{D5CDD505-2E9C-101B-9397-08002B2CF9AE}" pid="3" name="MSIP_Label_3a1c331b-5232-43a0-827b-34eef4b3955f_SetDate">
    <vt:lpwstr>2025-10-22T14:42:51Z</vt:lpwstr>
  </property>
  <property fmtid="{D5CDD505-2E9C-101B-9397-08002B2CF9AE}" pid="4" name="MSIP_Label_3a1c331b-5232-43a0-827b-34eef4b3955f_Method">
    <vt:lpwstr>Standard</vt:lpwstr>
  </property>
  <property fmtid="{D5CDD505-2E9C-101B-9397-08002B2CF9AE}" pid="5" name="MSIP_Label_3a1c331b-5232-43a0-827b-34eef4b3955f_Name">
    <vt:lpwstr>Public</vt:lpwstr>
  </property>
  <property fmtid="{D5CDD505-2E9C-101B-9397-08002B2CF9AE}" pid="6" name="MSIP_Label_3a1c331b-5232-43a0-827b-34eef4b3955f_SiteId">
    <vt:lpwstr>3701aadf-5391-43be-bb84-25a015a895f5</vt:lpwstr>
  </property>
  <property fmtid="{D5CDD505-2E9C-101B-9397-08002B2CF9AE}" pid="7" name="MSIP_Label_3a1c331b-5232-43a0-827b-34eef4b3955f_ActionId">
    <vt:lpwstr>f7f1aafc-7c50-4b80-9df7-2da28d37cdc9</vt:lpwstr>
  </property>
  <property fmtid="{D5CDD505-2E9C-101B-9397-08002B2CF9AE}" pid="8" name="MSIP_Label_3a1c331b-5232-43a0-827b-34eef4b3955f_ContentBits">
    <vt:lpwstr>0</vt:lpwstr>
  </property>
</Properties>
</file>