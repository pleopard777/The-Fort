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The_Fort\Wildlife Plan CGP\"/>
    </mc:Choice>
  </mc:AlternateContent>
  <xr:revisionPtr revIDLastSave="0" documentId="13_ncr:1_{8F52D324-745F-46EE-A327-DBE68C3FB06E}" xr6:coauthVersionLast="47" xr6:coauthVersionMax="47" xr10:uidLastSave="{00000000-0000-0000-0000-000000000000}"/>
  <bookViews>
    <workbookView xWindow="46460" yWindow="237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</calcChain>
</file>

<file path=xl/sharedStrings.xml><?xml version="1.0" encoding="utf-8"?>
<sst xmlns="http://schemas.openxmlformats.org/spreadsheetml/2006/main" count="66" uniqueCount="55">
  <si>
    <t>Name</t>
  </si>
  <si>
    <t>Activation Code</t>
  </si>
  <si>
    <t>SPY-001</t>
  </si>
  <si>
    <t>3F2Z-SQJ-Y4IV</t>
  </si>
  <si>
    <t>2F514I0383</t>
  </si>
  <si>
    <t>SPY-002</t>
  </si>
  <si>
    <t>V6VD-X2E-RJQJ</t>
  </si>
  <si>
    <t>Serial Number</t>
  </si>
  <si>
    <t>2F514I0686</t>
  </si>
  <si>
    <t>WGI-001</t>
  </si>
  <si>
    <t>WGI-002</t>
  </si>
  <si>
    <t>WGI-003</t>
  </si>
  <si>
    <t>NA</t>
  </si>
  <si>
    <t>SPY-003</t>
  </si>
  <si>
    <t>CH6K-24Q-L24D</t>
  </si>
  <si>
    <t>2F514I0630</t>
  </si>
  <si>
    <t>SPY-004</t>
  </si>
  <si>
    <t>XS02-24Q-L24V</t>
  </si>
  <si>
    <t>2F514I0621</t>
  </si>
  <si>
    <t>SPY-005</t>
  </si>
  <si>
    <t>SPY-006</t>
  </si>
  <si>
    <t>BAD4-IHD-NGEL</t>
  </si>
  <si>
    <t>2F514I0673</t>
  </si>
  <si>
    <t>Z3CZ-2QJ-Y4IW</t>
  </si>
  <si>
    <t>2F514I0874</t>
  </si>
  <si>
    <t>SPY-008</t>
  </si>
  <si>
    <t>2G502J0242</t>
  </si>
  <si>
    <t>TQ5F-C4Q-L242</t>
  </si>
  <si>
    <t>2T2F-C4Q-L24Z</t>
  </si>
  <si>
    <t>2G502J0323</t>
  </si>
  <si>
    <t>SPY-007</t>
  </si>
  <si>
    <t>Longitude</t>
  </si>
  <si>
    <t>Latitude</t>
  </si>
  <si>
    <t>Direction</t>
  </si>
  <si>
    <t>SSE</t>
  </si>
  <si>
    <t>N</t>
  </si>
  <si>
    <t>Zone</t>
  </si>
  <si>
    <t>Z04</t>
  </si>
  <si>
    <t>Z02</t>
  </si>
  <si>
    <t>Z06</t>
  </si>
  <si>
    <t>Z08</t>
  </si>
  <si>
    <t>Z01</t>
  </si>
  <si>
    <t>Z05</t>
  </si>
  <si>
    <t>Coordinates</t>
  </si>
  <si>
    <t>Segment</t>
  </si>
  <si>
    <t>SG11</t>
  </si>
  <si>
    <t>SG09</t>
  </si>
  <si>
    <t>SG06</t>
  </si>
  <si>
    <t>SG08</t>
  </si>
  <si>
    <t>SG14</t>
  </si>
  <si>
    <t>SG15</t>
  </si>
  <si>
    <t>SG01</t>
  </si>
  <si>
    <t>SG02</t>
  </si>
  <si>
    <t>SG05</t>
  </si>
  <si>
    <t>SG13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</si>
</sst>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855A2-FB0A-495F-95E2-269A8CD921AD}" name="Table1" displayName="Table1" ref="B2:J13" totalsRowShown="0" headerRowDxfId="10" dataDxfId="9">
  <autoFilter ref="B2:J13" xr:uid="{57C855A2-FB0A-495F-95E2-269A8CD921AD}"/>
  <sortState xmlns:xlrd2="http://schemas.microsoft.com/office/spreadsheetml/2017/richdata2" ref="B3:D13">
    <sortCondition ref="B2:B13"/>
  </sortState>
  <tableColumns count="9">
    <tableColumn id="1" xr3:uid="{FA99AD35-15D9-4F4A-8238-8F467F434EF4}" name="Name" dataDxfId="8"/>
    <tableColumn id="2" xr3:uid="{0EF7CD33-0F4C-4DDF-8089-E60468088540}" name="Activation Code" dataDxfId="7"/>
    <tableColumn id="3" xr3:uid="{6A134EBE-993B-4D12-8527-F9002CDB4B8B}" name="Serial Number" dataDxfId="6"/>
    <tableColumn id="7" xr3:uid="{63E4E1F0-7E38-4CCD-8B6A-FE87789E0CC9}" name="Zone" dataDxfId="5"/>
    <tableColumn id="9" xr3:uid="{59CE5E1E-F004-4452-8908-FD750D5EA4C4}" name="Segment" dataDxfId="0"/>
    <tableColumn id="5" xr3:uid="{C0AFFC87-107A-4CE8-92F1-99F7BF7F5757}" name="Latitude" dataDxfId="4"/>
    <tableColumn id="4" xr3:uid="{6DDE7482-AA16-4228-91F7-DFC594EBE5F2}" name="Longitude" dataDxfId="3"/>
    <tableColumn id="6" xr3:uid="{52CCF053-65C0-4D2E-84A8-4E1E745D1ECD}" name="Direction" dataDxfId="2"/>
    <tableColumn id="8" xr3:uid="{93DC6793-729D-4617-96A0-9E30BC4F7692}" name="Coordinates" dataDxfId="1">
      <calculatedColumnFormula>Table1[[#This Row],[Latitude]]&amp;","&amp;Table1[[#This Row],[Longitude]]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"/>
  <sheetViews>
    <sheetView showGridLines="0" tabSelected="1" workbookViewId="0">
      <selection activeCell="F14" sqref="F14"/>
    </sheetView>
  </sheetViews>
  <sheetFormatPr defaultRowHeight="14.5" x14ac:dyDescent="0.35"/>
  <cols>
    <col min="2" max="2" width="10.90625" style="2" customWidth="1"/>
    <col min="3" max="3" width="17.81640625" style="2" customWidth="1"/>
    <col min="4" max="4" width="17.90625" style="2" customWidth="1"/>
    <col min="5" max="5" width="11.36328125" style="2" customWidth="1"/>
    <col min="6" max="6" width="12.6328125" style="2" bestFit="1" customWidth="1"/>
    <col min="7" max="8" width="12.81640625" customWidth="1"/>
    <col min="10" max="10" width="19.1796875" bestFit="1" customWidth="1"/>
    <col min="12" max="12" width="17.1796875" bestFit="1" customWidth="1"/>
  </cols>
  <sheetData>
    <row r="2" spans="2:10" x14ac:dyDescent="0.35">
      <c r="B2" s="1" t="s">
        <v>0</v>
      </c>
      <c r="C2" s="1" t="s">
        <v>1</v>
      </c>
      <c r="D2" s="1" t="s">
        <v>7</v>
      </c>
      <c r="E2" s="1" t="s">
        <v>36</v>
      </c>
      <c r="F2" s="1" t="s">
        <v>44</v>
      </c>
      <c r="G2" s="1" t="s">
        <v>32</v>
      </c>
      <c r="H2" s="1" t="s">
        <v>31</v>
      </c>
      <c r="I2" s="1" t="s">
        <v>33</v>
      </c>
      <c r="J2" s="1" t="s">
        <v>43</v>
      </c>
    </row>
    <row r="3" spans="2:10" x14ac:dyDescent="0.35">
      <c r="B3" s="2" t="s">
        <v>2</v>
      </c>
      <c r="C3" s="2" t="s">
        <v>3</v>
      </c>
      <c r="D3" s="2" t="s">
        <v>4</v>
      </c>
      <c r="E3" s="2" t="s">
        <v>37</v>
      </c>
      <c r="F3" s="2" t="s">
        <v>45</v>
      </c>
      <c r="G3" s="2">
        <v>34.570419999999999</v>
      </c>
      <c r="H3" s="2">
        <v>-86.478039999999993</v>
      </c>
      <c r="I3" s="2"/>
      <c r="J3" s="2" t="str">
        <f>Table1[[#This Row],[Latitude]]&amp;","&amp;Table1[[#This Row],[Longitude]]</f>
        <v>34.57042,-86.47804</v>
      </c>
    </row>
    <row r="4" spans="2:10" x14ac:dyDescent="0.35">
      <c r="B4" s="2" t="s">
        <v>5</v>
      </c>
      <c r="C4" s="2" t="s">
        <v>6</v>
      </c>
      <c r="D4" s="2" t="s">
        <v>8</v>
      </c>
      <c r="E4" s="2" t="s">
        <v>38</v>
      </c>
      <c r="F4" s="2" t="s">
        <v>46</v>
      </c>
      <c r="G4" s="2">
        <v>34.570830000000001</v>
      </c>
      <c r="H4" s="2">
        <v>-86.476659999999995</v>
      </c>
      <c r="I4" s="2"/>
      <c r="J4" s="2" t="str">
        <f>Table1[[#This Row],[Latitude]]&amp;","&amp;Table1[[#This Row],[Longitude]]</f>
        <v>34.57083,-86.47666</v>
      </c>
    </row>
    <row r="5" spans="2:10" x14ac:dyDescent="0.35">
      <c r="B5" s="2" t="s">
        <v>13</v>
      </c>
      <c r="C5" s="2" t="s">
        <v>14</v>
      </c>
      <c r="D5" s="2" t="s">
        <v>15</v>
      </c>
      <c r="E5" s="2" t="s">
        <v>37</v>
      </c>
      <c r="F5" s="2" t="s">
        <v>47</v>
      </c>
      <c r="G5" s="2">
        <v>34.570610000000002</v>
      </c>
      <c r="H5" s="2">
        <v>-86.47766</v>
      </c>
      <c r="I5" s="2"/>
      <c r="J5" s="2" t="str">
        <f>Table1[[#This Row],[Latitude]]&amp;","&amp;Table1[[#This Row],[Longitude]]</f>
        <v>34.57061,-86.47766</v>
      </c>
    </row>
    <row r="6" spans="2:10" x14ac:dyDescent="0.35">
      <c r="B6" s="2" t="s">
        <v>16</v>
      </c>
      <c r="C6" s="2" t="s">
        <v>17</v>
      </c>
      <c r="D6" s="2" t="s">
        <v>18</v>
      </c>
      <c r="E6" s="2" t="s">
        <v>37</v>
      </c>
      <c r="F6" s="2" t="s">
        <v>48</v>
      </c>
      <c r="G6" s="2">
        <v>34.570320000000002</v>
      </c>
      <c r="H6" s="2">
        <v>-86.47784</v>
      </c>
      <c r="I6" s="2"/>
      <c r="J6" s="2" t="str">
        <f>Table1[[#This Row],[Latitude]]&amp;","&amp;Table1[[#This Row],[Longitude]]</f>
        <v>34.57032,-86.47784</v>
      </c>
    </row>
    <row r="7" spans="2:10" x14ac:dyDescent="0.35">
      <c r="B7" s="2" t="s">
        <v>19</v>
      </c>
      <c r="C7" s="2" t="s">
        <v>21</v>
      </c>
      <c r="D7" s="2" t="s">
        <v>22</v>
      </c>
      <c r="E7" s="2" t="s">
        <v>39</v>
      </c>
      <c r="F7" s="2" t="s">
        <v>49</v>
      </c>
      <c r="G7" s="2">
        <v>34.570619999999998</v>
      </c>
      <c r="H7" s="2">
        <v>-86.47972</v>
      </c>
      <c r="I7" s="2"/>
      <c r="J7" s="2" t="str">
        <f>Table1[[#This Row],[Latitude]]&amp;","&amp;Table1[[#This Row],[Longitude]]</f>
        <v>34.57062,-86.47972</v>
      </c>
    </row>
    <row r="8" spans="2:10" x14ac:dyDescent="0.35">
      <c r="B8" s="2" t="s">
        <v>20</v>
      </c>
      <c r="C8" s="2" t="s">
        <v>23</v>
      </c>
      <c r="D8" s="2" t="s">
        <v>24</v>
      </c>
      <c r="E8" s="2" t="s">
        <v>42</v>
      </c>
      <c r="F8" s="2" t="s">
        <v>50</v>
      </c>
      <c r="G8" s="2">
        <v>34.571185999999997</v>
      </c>
      <c r="H8" s="2">
        <v>-86.479777999999996</v>
      </c>
      <c r="I8" s="2"/>
      <c r="J8" s="2" t="str">
        <f>Table1[[#This Row],[Latitude]]&amp;","&amp;Table1[[#This Row],[Longitude]]</f>
        <v>34.571186,-86.479778</v>
      </c>
    </row>
    <row r="9" spans="2:10" x14ac:dyDescent="0.35">
      <c r="B9" s="2" t="s">
        <v>30</v>
      </c>
      <c r="C9" s="2" t="s">
        <v>28</v>
      </c>
      <c r="D9" s="2" t="s">
        <v>29</v>
      </c>
      <c r="E9" s="2" t="s">
        <v>40</v>
      </c>
      <c r="F9" s="2" t="s">
        <v>51</v>
      </c>
      <c r="G9" s="2">
        <v>34.570799999999998</v>
      </c>
      <c r="H9" s="2">
        <v>-86.480069999999998</v>
      </c>
      <c r="I9" s="2" t="s">
        <v>35</v>
      </c>
      <c r="J9" s="2" t="str">
        <f>Table1[[#This Row],[Latitude]]&amp;","&amp;Table1[[#This Row],[Longitude]]</f>
        <v>34.5708,-86.48007</v>
      </c>
    </row>
    <row r="10" spans="2:10" x14ac:dyDescent="0.35">
      <c r="B10" s="2" t="s">
        <v>25</v>
      </c>
      <c r="C10" s="2" t="s">
        <v>27</v>
      </c>
      <c r="D10" s="2" t="s">
        <v>26</v>
      </c>
      <c r="E10" s="2" t="s">
        <v>39</v>
      </c>
      <c r="F10" s="2" t="s">
        <v>52</v>
      </c>
      <c r="G10" s="2">
        <v>34.57058</v>
      </c>
      <c r="H10" s="2">
        <v>-86.478679999999997</v>
      </c>
      <c r="I10" s="2" t="s">
        <v>34</v>
      </c>
      <c r="J10" s="2" t="str">
        <f>Table1[[#This Row],[Latitude]]&amp;","&amp;Table1[[#This Row],[Longitude]]</f>
        <v>34.57058,-86.47868</v>
      </c>
    </row>
    <row r="11" spans="2:10" x14ac:dyDescent="0.35">
      <c r="B11" s="2" t="s">
        <v>9</v>
      </c>
      <c r="C11" s="2" t="s">
        <v>12</v>
      </c>
      <c r="D11" s="2" t="s">
        <v>12</v>
      </c>
      <c r="E11" s="2" t="s">
        <v>41</v>
      </c>
      <c r="F11" s="2" t="s">
        <v>53</v>
      </c>
      <c r="G11" s="2">
        <v>34.570880000000002</v>
      </c>
      <c r="H11" s="2">
        <v>-86.476119999999995</v>
      </c>
      <c r="I11" s="2"/>
      <c r="J11" s="2" t="str">
        <f>Table1[[#This Row],[Latitude]]&amp;","&amp;Table1[[#This Row],[Longitude]]</f>
        <v>34.57088,-86.47612</v>
      </c>
    </row>
    <row r="12" spans="2:10" x14ac:dyDescent="0.35">
      <c r="B12" s="2" t="s">
        <v>10</v>
      </c>
      <c r="C12" s="2" t="s">
        <v>12</v>
      </c>
      <c r="D12" s="2" t="s">
        <v>12</v>
      </c>
      <c r="E12" s="2" t="s">
        <v>41</v>
      </c>
      <c r="F12" s="2" t="s">
        <v>54</v>
      </c>
      <c r="G12" s="2">
        <v>34.570900000000002</v>
      </c>
      <c r="H12" s="2">
        <v>-86.476619999999997</v>
      </c>
      <c r="I12" s="2"/>
      <c r="J12" s="2" t="str">
        <f>Table1[[#This Row],[Latitude]]&amp;","&amp;Table1[[#This Row],[Longitude]]</f>
        <v>34.5709,-86.47662</v>
      </c>
    </row>
    <row r="13" spans="2:10" x14ac:dyDescent="0.35">
      <c r="B13" s="2" t="s">
        <v>11</v>
      </c>
      <c r="C13" s="2" t="s">
        <v>12</v>
      </c>
      <c r="D13" s="2" t="s">
        <v>12</v>
      </c>
      <c r="E13" s="2" t="s">
        <v>38</v>
      </c>
      <c r="F13" s="2" t="s">
        <v>46</v>
      </c>
      <c r="G13" s="2">
        <v>34.570120000000003</v>
      </c>
      <c r="H13" s="2">
        <v>-86.476489999999998</v>
      </c>
      <c r="I13" s="2"/>
      <c r="J13" s="2" t="str">
        <f>Table1[[#This Row],[Latitude]]&amp;","&amp;Table1[[#This Row],[Longitude]]</f>
        <v>34.57012,-86.47649</v>
      </c>
    </row>
  </sheetData>
  <phoneticPr fontId="2" type="noConversion"/>
  <dataValidations count="1">
    <dataValidation type="list" allowBlank="1" showInputMessage="1" showErrorMessage="1" sqref="E3:E13" xr:uid="{43F4F0C9-DB8C-4F99-A492-FDE3686299C4}">
      <formula1>"Z01,Z02,Z03,Z04,Z05,Z06,Z07,Z08"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Leopard</dc:creator>
  <cp:lastModifiedBy>paul leopard</cp:lastModifiedBy>
  <dcterms:created xsi:type="dcterms:W3CDTF">2015-06-05T18:17:20Z</dcterms:created>
  <dcterms:modified xsi:type="dcterms:W3CDTF">2026-01-06T14:33:56Z</dcterms:modified>
</cp:coreProperties>
</file>